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ber\Desktop\FarmaLeal-Mailing\"/>
    </mc:Choice>
  </mc:AlternateContent>
  <xr:revisionPtr revIDLastSave="0" documentId="13_ncr:1_{F55B03A6-323F-4D0C-9567-518287B86CA9}" xr6:coauthVersionLast="47" xr6:coauthVersionMax="47" xr10:uidLastSave="{00000000-0000-0000-0000-000000000000}"/>
  <bookViews>
    <workbookView xWindow="51480" yWindow="-120" windowWidth="29040" windowHeight="16440" activeTab="1" xr2:uid="{B3DB81C5-9EF5-45C7-8B63-AD43FCE30ABD}"/>
  </bookViews>
  <sheets>
    <sheet name="DETALLE" sheetId="4" r:id="rId1"/>
    <sheet name="Hoja1" sheetId="5" r:id="rId2"/>
  </sheets>
  <definedNames>
    <definedName name="_xlnm._FilterDatabase" localSheetId="0" hidden="1">DETALLE!$E$1:$J$5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4" l="1"/>
  <c r="K2" i="4"/>
  <c r="K3" i="4"/>
  <c r="K4" i="4"/>
</calcChain>
</file>

<file path=xl/sharedStrings.xml><?xml version="1.0" encoding="utf-8"?>
<sst xmlns="http://schemas.openxmlformats.org/spreadsheetml/2006/main" count="64" uniqueCount="37">
  <si>
    <t>UN</t>
  </si>
  <si>
    <t>SOCIEDAD</t>
  </si>
  <si>
    <t>NOMBRE COMPLETO</t>
  </si>
  <si>
    <t>EKT</t>
  </si>
  <si>
    <t>RAZON SOCIAL</t>
  </si>
  <si>
    <t>ADVANSEC, S.C.</t>
  </si>
  <si>
    <t>CECO</t>
  </si>
  <si>
    <t># EMPLEADO</t>
  </si>
  <si>
    <t>PARENTESCO</t>
  </si>
  <si>
    <t>TITULAR</t>
  </si>
  <si>
    <t>CECO SOCIEDAD</t>
  </si>
  <si>
    <t>PRECIO</t>
  </si>
  <si>
    <t>Columna1</t>
  </si>
  <si>
    <t>TRAMITA</t>
  </si>
  <si>
    <t>SE</t>
  </si>
  <si>
    <t>CORREO</t>
  </si>
  <si>
    <t>ROBERTO EDGAR MONJARDIN ALVARADO</t>
  </si>
  <si>
    <t>robertomonjardin95@gmail.com</t>
  </si>
  <si>
    <t>Osvaldo Ulises Monjardin Alvarado</t>
  </si>
  <si>
    <t>monjardinspotify@gmail.com</t>
  </si>
  <si>
    <t>Robert</t>
  </si>
  <si>
    <t>rmonjardin@farmaleal.com.mx</t>
  </si>
  <si>
    <t xml:space="preserve">Christian Lepe </t>
  </si>
  <si>
    <t>christian.lepe@farmaleal.com.mx</t>
  </si>
  <si>
    <t>rmonjardin@salud-interactiva.com.mx</t>
  </si>
  <si>
    <t>Producto</t>
  </si>
  <si>
    <t>NumeroTarjeta</t>
  </si>
  <si>
    <t>NomCompleto</t>
  </si>
  <si>
    <t>VIG</t>
  </si>
  <si>
    <t>EtiquetaLogistica02</t>
  </si>
  <si>
    <t>EtiquetaLogistica03</t>
  </si>
  <si>
    <t>BLACK VRIM DIGITAL- GENERICO</t>
  </si>
  <si>
    <t>'1122052600028094</t>
  </si>
  <si>
    <t>'14/MAY/2027</t>
  </si>
  <si>
    <t>'1122052600028096</t>
  </si>
  <si>
    <t>Christian Lepe Cruz</t>
  </si>
  <si>
    <t>clepe@salud-interactiva.com.mx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</si>
</sst>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44" fontId="0" fillId="0" borderId="0" xfId="4" applyFont="1"/>
    <xf numFmtId="0" fontId="0" fillId="0" borderId="0" xfId="0" applyAlignment="1">
      <alignment horizontal="center"/>
    </xf>
    <xf numFmtId="0" fontId="2" fillId="2" borderId="0" xfId="0" applyFont="1" applyFill="1"/>
    <xf numFmtId="0" fontId="0" fillId="2" borderId="0" xfId="0" applyFill="1"/>
    <xf numFmtId="0" fontId="2" fillId="0" borderId="0" xfId="0" applyFont="1" applyAlignment="1">
      <alignment horizontal="center"/>
    </xf>
    <xf numFmtId="0" fontId="4" fillId="0" borderId="0" xfId="5"/>
    <xf numFmtId="0" fontId="4" fillId="0" borderId="0" xfId="5" applyNumberFormat="1"/>
    <xf numFmtId="0" fontId="5" fillId="0" borderId="0" xfId="0" applyFont="1"/>
    <xf numFmtId="0" fontId="0" fillId="0" borderId="1" xfId="0" applyBorder="1"/>
    <xf numFmtId="0" fontId="4" fillId="0" borderId="0" xfId="5" applyAlignment="1">
      <alignment vertical="center"/>
    </xf>
  </cellXfs>
  <cellStyles count="6">
    <cellStyle name="Hipervínculo" xfId="5" builtinId="8"/>
    <cellStyle name="Moneda" xfId="4" builtinId="4"/>
    <cellStyle name="Moneda 2 10 3" xfId="3" xr:uid="{2430A9EA-9186-4FC4-90D2-B6C8D38C22A4}"/>
    <cellStyle name="Normal" xfId="0" builtinId="0"/>
    <cellStyle name="Normal 14" xfId="1" xr:uid="{8B32EEDE-79C8-46FF-AD11-8570C630BB54}"/>
    <cellStyle name="Normal 15" xfId="2" xr:uid="{91C76357-BBBD-4983-8858-B12C1254D69F}"/>
  </cellStyles>
  <dxfs count="3"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CB9E74-BEF2-44B8-BC86-9BB31C1376A9}" name="Tabla1" displayName="Tabla1" ref="A1:L5" totalsRowShown="0">
  <autoFilter ref="A1:L5" xr:uid="{B8CB9E74-BEF2-44B8-BC86-9BB31C1376A9}"/>
  <sortState xmlns:xlrd2="http://schemas.microsoft.com/office/spreadsheetml/2017/richdata2" ref="A2:K4">
    <sortCondition ref="G1:G4"/>
  </sortState>
  <tableColumns count="12">
    <tableColumn id="1" xr3:uid="{7B44AFE5-2369-41AE-98F0-D486AC2F133E}" name="# EMPLEADO" dataDxfId="2"/>
    <tableColumn id="2" xr3:uid="{71A67AEF-EB50-4C16-9F54-1885A9EC5C18}" name="NOMBRE COMPLETO"/>
    <tableColumn id="3" xr3:uid="{5346F5BD-8F1E-4D90-8881-4908857FD5F0}" name="PARENTESCO"/>
    <tableColumn id="10" xr3:uid="{E0EDBD09-A394-4C63-BA54-68F4F34502B7}" name="TRAMITA"/>
    <tableColumn id="4" xr3:uid="{8AD2F73C-7C28-46B4-800F-EBEF9E2C78C3}" name="UN"/>
    <tableColumn id="5" xr3:uid="{7D631827-6752-4608-9FA2-C109FC1740BB}" name="SOCIEDAD"/>
    <tableColumn id="6" xr3:uid="{81C2C934-88C4-4DFD-8DAA-E7DBEA035C22}" name="RAZON SOCIAL"/>
    <tableColumn id="7" xr3:uid="{C77C0E0B-5D28-4AEC-8DB6-AE2F9B27E940}" name="CECO"/>
    <tableColumn id="8" xr3:uid="{FC317DF3-1DC3-45D3-A0C5-61B9E2AC91E6}" name="CECO SOCIEDAD"/>
    <tableColumn id="9" xr3:uid="{68E5889C-A8E6-4F4F-B989-9BF66B40DD9B}" name="PRECIO" dataCellStyle="Moneda"/>
    <tableColumn id="11" xr3:uid="{6821C523-79A3-4CA4-932A-9A0BCC6E9F74}" name="Columna1" dataDxfId="1">
      <calculatedColumnFormula>COUNTIF(Tabla1[NOMBRE COMPLETO],Tabla1[[#This Row],[NOMBRE COMPLETO]])</calculatedColumnFormula>
    </tableColumn>
    <tableColumn id="12" xr3:uid="{D992EC87-A260-4DE5-B2BA-356E1A9A2BFE}" name="CORRE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monjardin@farmaleal.com.mx" TargetMode="External"/><Relationship Id="rId2" Type="http://schemas.openxmlformats.org/officeDocument/2006/relationships/hyperlink" Target="mailto:monjardinspotify@gmail.com" TargetMode="External"/><Relationship Id="rId1" Type="http://schemas.openxmlformats.org/officeDocument/2006/relationships/hyperlink" Target="mailto:robertomonjardin95@gmail.com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ristian.lepe@farmaleal.com.m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lepe@salud-interactiva.com.mx" TargetMode="External"/><Relationship Id="rId2" Type="http://schemas.openxmlformats.org/officeDocument/2006/relationships/hyperlink" Target="mailto:robertomonjardin95@gmail.com" TargetMode="External"/><Relationship Id="rId1" Type="http://schemas.openxmlformats.org/officeDocument/2006/relationships/hyperlink" Target="mailto:rmonjardin@salud-interactiva.com.mx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christian.lepe@farmaleal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E596-1C63-4EFC-A077-5A517076928F}">
  <dimension ref="A1:AM9"/>
  <sheetViews>
    <sheetView zoomScale="93" zoomScaleNormal="110" workbookViewId="0">
      <selection activeCell="A2" sqref="A2:B3"/>
    </sheetView>
  </sheetViews>
  <sheetFormatPr baseColWidth="10" defaultRowHeight="15" x14ac:dyDescent="0.25"/>
  <cols>
    <col min="1" max="1" width="13.42578125" style="3" bestFit="1" customWidth="1"/>
    <col min="2" max="2" width="56.140625" bestFit="1" customWidth="1"/>
    <col min="3" max="3" width="13.85546875" customWidth="1"/>
    <col min="4" max="4" width="35" customWidth="1"/>
    <col min="5" max="5" width="42.5703125" customWidth="1"/>
    <col min="6" max="6" width="39" customWidth="1"/>
    <col min="7" max="7" width="30.28515625" customWidth="1"/>
    <col min="8" max="8" width="23.85546875" customWidth="1"/>
    <col min="9" max="9" width="28.5703125" customWidth="1"/>
    <col min="10" max="10" width="42.85546875" style="2" customWidth="1"/>
    <col min="11" max="11" width="40" customWidth="1"/>
    <col min="12" max="12" width="53.5703125" customWidth="1"/>
    <col min="13" max="39" width="10.85546875" style="5"/>
  </cols>
  <sheetData>
    <row r="1" spans="1:39" s="1" customFormat="1" x14ac:dyDescent="0.25">
      <c r="A1" s="6" t="s">
        <v>7</v>
      </c>
      <c r="B1" t="s">
        <v>2</v>
      </c>
      <c r="C1" t="s">
        <v>8</v>
      </c>
      <c r="D1" t="s">
        <v>13</v>
      </c>
      <c r="E1" t="s">
        <v>0</v>
      </c>
      <c r="F1" t="s">
        <v>1</v>
      </c>
      <c r="G1" t="s">
        <v>4</v>
      </c>
      <c r="H1" t="s">
        <v>6</v>
      </c>
      <c r="I1" s="1" t="s">
        <v>10</v>
      </c>
      <c r="J1" s="2" t="s">
        <v>11</v>
      </c>
      <c r="K1" s="1" t="s">
        <v>12</v>
      </c>
      <c r="L1" s="3" t="s">
        <v>15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 x14ac:dyDescent="0.25">
      <c r="A2" s="3">
        <v>36918</v>
      </c>
      <c r="B2" t="s">
        <v>16</v>
      </c>
      <c r="C2" t="s">
        <v>9</v>
      </c>
      <c r="D2" t="s">
        <v>14</v>
      </c>
      <c r="E2" t="s">
        <v>3</v>
      </c>
      <c r="F2">
        <v>933</v>
      </c>
      <c r="G2" t="s">
        <v>5</v>
      </c>
      <c r="H2">
        <v>858211</v>
      </c>
      <c r="I2">
        <v>125395</v>
      </c>
      <c r="J2" s="2">
        <v>305</v>
      </c>
      <c r="K2">
        <f>COUNTIF(Tabla1[NOMBRE COMPLETO],Tabla1[[#This Row],[NOMBRE COMPLETO]])</f>
        <v>1</v>
      </c>
      <c r="L2" s="7" t="s">
        <v>17</v>
      </c>
    </row>
    <row r="3" spans="1:39" x14ac:dyDescent="0.25">
      <c r="A3" s="3">
        <v>39481</v>
      </c>
      <c r="B3" t="s">
        <v>18</v>
      </c>
      <c r="C3" t="s">
        <v>9</v>
      </c>
      <c r="D3" t="s">
        <v>14</v>
      </c>
      <c r="E3" t="s">
        <v>3</v>
      </c>
      <c r="F3">
        <v>933</v>
      </c>
      <c r="G3" t="s">
        <v>5</v>
      </c>
      <c r="H3">
        <v>125365</v>
      </c>
      <c r="I3">
        <v>125395</v>
      </c>
      <c r="J3" s="2">
        <v>305</v>
      </c>
      <c r="K3">
        <f>COUNTIF(Tabla1[NOMBRE COMPLETO],Tabla1[[#This Row],[NOMBRE COMPLETO]])</f>
        <v>1</v>
      </c>
      <c r="L3" s="7" t="s">
        <v>19</v>
      </c>
    </row>
    <row r="4" spans="1:39" x14ac:dyDescent="0.25">
      <c r="A4" s="3">
        <v>42170</v>
      </c>
      <c r="B4" t="s">
        <v>20</v>
      </c>
      <c r="C4" t="s">
        <v>9</v>
      </c>
      <c r="D4" t="s">
        <v>14</v>
      </c>
      <c r="E4" t="s">
        <v>3</v>
      </c>
      <c r="F4">
        <v>933</v>
      </c>
      <c r="G4" t="s">
        <v>5</v>
      </c>
      <c r="H4">
        <v>858211</v>
      </c>
      <c r="I4">
        <v>125395</v>
      </c>
      <c r="J4" s="2">
        <v>305</v>
      </c>
      <c r="K4">
        <f>COUNTIF(Tabla1[NOMBRE COMPLETO],Tabla1[[#This Row],[NOMBRE COMPLETO]])</f>
        <v>1</v>
      </c>
      <c r="L4" s="7" t="s">
        <v>21</v>
      </c>
    </row>
    <row r="5" spans="1:39" x14ac:dyDescent="0.25">
      <c r="A5" s="3">
        <v>12341</v>
      </c>
      <c r="B5" t="s">
        <v>22</v>
      </c>
      <c r="C5" t="s">
        <v>9</v>
      </c>
      <c r="G5" t="s">
        <v>5</v>
      </c>
      <c r="K5">
        <f>COUNTIF(Tabla1[NOMBRE COMPLETO],Tabla1[[#This Row],[NOMBRE COMPLETO]])</f>
        <v>1</v>
      </c>
      <c r="L5" s="8" t="s">
        <v>23</v>
      </c>
    </row>
    <row r="6" spans="1:39" x14ac:dyDescent="0.25">
      <c r="C6" s="9"/>
    </row>
    <row r="9" spans="1:39" x14ac:dyDescent="0.25">
      <c r="C9" s="9"/>
    </row>
  </sheetData>
  <sortState xmlns:xlrd2="http://schemas.microsoft.com/office/spreadsheetml/2017/richdata2" ref="E2:J4">
    <sortCondition ref="J2:J4"/>
  </sortState>
  <hyperlinks>
    <hyperlink ref="L2" r:id="rId1" xr:uid="{3BC0E210-5C7A-47EF-9A46-84B81C6C38E2}"/>
    <hyperlink ref="L3" r:id="rId2" xr:uid="{436EDDB5-1CB1-4FC5-BA0B-8C3DC1A6D440}"/>
    <hyperlink ref="L4" r:id="rId3" xr:uid="{89FA6342-AEEF-4EFD-BB5A-7E32137C8039}"/>
    <hyperlink ref="L5" r:id="rId4" xr:uid="{DCEE7C2B-3414-4936-9F45-B1738DEE83A7}"/>
  </hyperlinks>
  <pageMargins left="0.7" right="0.7" top="0.75" bottom="0.75" header="0.3" footer="0.3"/>
  <pageSetup orientation="portrait" horizontalDpi="0" verticalDpi="0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0985-58AA-4CEE-9961-6E7E20BF57C2}">
  <dimension ref="A1:F10"/>
  <sheetViews>
    <sheetView tabSelected="1" workbookViewId="0">
      <selection activeCell="F6" sqref="F6"/>
    </sheetView>
  </sheetViews>
  <sheetFormatPr baseColWidth="10" defaultRowHeight="15" x14ac:dyDescent="0.25"/>
  <cols>
    <col min="2" max="2" width="37.140625" bestFit="1" customWidth="1"/>
    <col min="3" max="3" width="29.85546875" bestFit="1" customWidth="1"/>
    <col min="4" max="4" width="18.28515625" bestFit="1" customWidth="1"/>
    <col min="5" max="5" width="35.85546875" bestFit="1" customWidth="1"/>
    <col min="6" max="6" width="41.5703125" customWidth="1"/>
  </cols>
  <sheetData>
    <row r="1" spans="1:6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t="s">
        <v>31</v>
      </c>
      <c r="B2" t="s">
        <v>32</v>
      </c>
      <c r="C2" s="10" t="s">
        <v>16</v>
      </c>
      <c r="D2" t="s">
        <v>33</v>
      </c>
      <c r="E2" s="10" t="s">
        <v>16</v>
      </c>
      <c r="F2" s="11" t="s">
        <v>24</v>
      </c>
    </row>
    <row r="3" spans="1:6" x14ac:dyDescent="0.25">
      <c r="A3" t="s">
        <v>31</v>
      </c>
      <c r="B3" t="s">
        <v>34</v>
      </c>
      <c r="C3" s="10" t="s">
        <v>18</v>
      </c>
      <c r="D3" t="s">
        <v>33</v>
      </c>
      <c r="E3" s="10" t="s">
        <v>18</v>
      </c>
      <c r="F3" s="7" t="s">
        <v>17</v>
      </c>
    </row>
    <row r="4" spans="1:6" x14ac:dyDescent="0.25">
      <c r="A4" t="s">
        <v>31</v>
      </c>
      <c r="B4" t="s">
        <v>34</v>
      </c>
      <c r="C4" s="10" t="s">
        <v>35</v>
      </c>
      <c r="D4" t="s">
        <v>33</v>
      </c>
      <c r="E4" s="10" t="s">
        <v>35</v>
      </c>
      <c r="F4" s="7" t="s">
        <v>36</v>
      </c>
    </row>
    <row r="5" spans="1:6" x14ac:dyDescent="0.25">
      <c r="A5" t="s">
        <v>31</v>
      </c>
      <c r="B5" t="s">
        <v>34</v>
      </c>
      <c r="C5" s="10" t="s">
        <v>35</v>
      </c>
      <c r="D5" t="s">
        <v>33</v>
      </c>
      <c r="E5" s="10" t="s">
        <v>35</v>
      </c>
      <c r="F5" s="7" t="s">
        <v>23</v>
      </c>
    </row>
    <row r="10" spans="1:6" x14ac:dyDescent="0.25">
      <c r="D10" s="9"/>
    </row>
  </sheetData>
  <hyperlinks>
    <hyperlink ref="F2" r:id="rId1" display="mailto:rmonjardin@salud-interactiva.com.mx" xr:uid="{BE9F2FF6-456F-4E2B-A0C0-BD76E4E06139}"/>
    <hyperlink ref="F3" r:id="rId2" xr:uid="{091242AC-0F01-4ACA-8F19-964AD4F5C500}"/>
    <hyperlink ref="F4" r:id="rId3" xr:uid="{688216C2-7797-4EEC-9184-3CB51A47873F}"/>
    <hyperlink ref="F5" r:id="rId4" xr:uid="{A8FD61FC-4A75-44A7-BEE5-AD712FBB5B75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Gabriela Mercado Galvan</dc:creator>
  <cp:lastModifiedBy>Licencia 2 farmaleal</cp:lastModifiedBy>
  <dcterms:created xsi:type="dcterms:W3CDTF">2026-01-19T18:59:38Z</dcterms:created>
  <dcterms:modified xsi:type="dcterms:W3CDTF">2026-05-18T18:11:04Z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2026-01-19T19:24:27Z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eb1c8d71-62f5-425d-a743-8a38add38fd6</vt:lpwstr>
  </property>
  <property fmtid="{D5CDD505-2E9C-101B-9397-08002B2CF9AE}" pid="8" name="MSIP_Label_8ae3a633-3d5f-462b-ba19-31157bb9a57b_ContentBits">
    <vt:lpwstr>0</vt:lpwstr>
  </property>
  <property fmtid="{D5CDD505-2E9C-101B-9397-08002B2CF9AE}" pid="9" name="MSIP_Label_8ae3a633-3d5f-462b-ba19-31157bb9a57b_Tag">
    <vt:lpwstr>10, 3, 0, 1</vt:lpwstr>
  </property>
</Properties>
</file>